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Card A " sheetId="2" r:id="rId5"/>
    <sheet state="visible" name="Card B " sheetId="3" r:id="rId6"/>
  </sheets>
  <definedNames/>
  <calcPr/>
  <extLst>
    <ext uri="GoogleSheetsCustomDataVersion2">
      <go:sheetsCustomData xmlns:go="http://customooxmlschemas.google.com/" r:id="rId7" roundtripDataChecksum="7teQL/QFgEKVxmFoVgPmR6f0HE+RXuXyjFwXrzLsX1w="/>
    </ext>
  </extLst>
</workbook>
</file>

<file path=xl/sharedStrings.xml><?xml version="1.0" encoding="utf-8"?>
<sst xmlns="http://schemas.openxmlformats.org/spreadsheetml/2006/main" count="242" uniqueCount="94">
  <si>
    <t>Medio tiempo</t>
  </si>
  <si>
    <t xml:space="preserve">La Previa (La que tiene las camisetas) </t>
  </si>
  <si>
    <t xml:space="preserve">*las cuotas siempre llevan 2 decimales </t>
  </si>
  <si>
    <t>Partido</t>
  </si>
  <si>
    <t xml:space="preserve">*tomar inverso en este caso </t>
  </si>
  <si>
    <t xml:space="preserve">Equipo A </t>
  </si>
  <si>
    <t xml:space="preserve">Equipo B </t>
  </si>
  <si>
    <t xml:space="preserve">Mercado </t>
  </si>
  <si>
    <t>Cuota A</t>
  </si>
  <si>
    <t xml:space="preserve">*el monto de la apuesta por la cuota que se encuentre en rojo </t>
  </si>
  <si>
    <t>Texto A</t>
  </si>
  <si>
    <t>Color Cuota A</t>
  </si>
  <si>
    <t xml:space="preserve">Color Texto A </t>
  </si>
  <si>
    <t xml:space="preserve">Cuota A </t>
  </si>
  <si>
    <t>Cuota B</t>
  </si>
  <si>
    <t>Texto B</t>
  </si>
  <si>
    <t xml:space="preserve">Cuota B </t>
  </si>
  <si>
    <t xml:space="preserve">Color Cuota B </t>
  </si>
  <si>
    <t>Color Texto B</t>
  </si>
  <si>
    <t xml:space="preserve">Cuota Empate </t>
  </si>
  <si>
    <t xml:space="preserve">Si Apuestas </t>
  </si>
  <si>
    <t xml:space="preserve">Color Cuota Empate </t>
  </si>
  <si>
    <t xml:space="preserve">Ganarias </t>
  </si>
  <si>
    <t xml:space="preserve">Kit Equipo A </t>
  </si>
  <si>
    <t xml:space="preserve">Kit Equipo B </t>
  </si>
  <si>
    <t xml:space="preserve">Alianza Atletico </t>
  </si>
  <si>
    <t xml:space="preserve">Comerciantes Unidos </t>
  </si>
  <si>
    <t>#d72828</t>
  </si>
  <si>
    <t xml:space="preserve">#ffffff </t>
  </si>
  <si>
    <t>#000000</t>
  </si>
  <si>
    <t>Blanco</t>
  </si>
  <si>
    <t>https://drive.google.com/drive/folders/166l3B3BNd0FFBsbvLSpLmN7KAOF14S8Q</t>
  </si>
  <si>
    <t>Alianza Atletico</t>
  </si>
  <si>
    <t>Ambos equipos anotan</t>
  </si>
  <si>
    <t>Si</t>
  </si>
  <si>
    <t>No</t>
  </si>
  <si>
    <t xml:space="preserve">Alianza Lima </t>
  </si>
  <si>
    <t xml:space="preserve">ADT </t>
  </si>
  <si>
    <t>Alianza Lima</t>
  </si>
  <si>
    <t>Más/menos 2.5 goles</t>
  </si>
  <si>
    <t>Más de 2.5</t>
  </si>
  <si>
    <t xml:space="preserve">FC Cajamarca </t>
  </si>
  <si>
    <t xml:space="preserve">Cusco FC </t>
  </si>
  <si>
    <t xml:space="preserve">Cuotas para Spot Publicitario Caliente.pe Fecha 10 Clausura Liga 1  </t>
  </si>
  <si>
    <t>Menos 2.5</t>
  </si>
  <si>
    <t>Cuotas para antes del inicio del partido</t>
  </si>
  <si>
    <t>FC Cajamarca</t>
  </si>
  <si>
    <t xml:space="preserve">Sporting Cristal </t>
  </si>
  <si>
    <t>Atletico Grau</t>
  </si>
  <si>
    <t>Mercado Resultado del Partido</t>
  </si>
  <si>
    <t>*PENDIENTE</t>
  </si>
  <si>
    <t>Sporting Cristal</t>
  </si>
  <si>
    <t>Cuotas para el entretiempo</t>
  </si>
  <si>
    <t>Deportivo Garcilaso</t>
  </si>
  <si>
    <t xml:space="preserve">Universitario de Deportes </t>
  </si>
  <si>
    <t>Mercado</t>
  </si>
  <si>
    <t xml:space="preserve">FBC Melgar </t>
  </si>
  <si>
    <t>Cuotas</t>
  </si>
  <si>
    <t xml:space="preserve">Sports Boys </t>
  </si>
  <si>
    <t>Alianza Atlético - Comerciantes Unidos</t>
  </si>
  <si>
    <t>FBC Melgar</t>
  </si>
  <si>
    <t>Sport Huancayo</t>
  </si>
  <si>
    <t xml:space="preserve">UTC </t>
  </si>
  <si>
    <r>
      <rPr>
        <rFont val="Aptos Narrow"/>
        <b/>
        <color theme="1"/>
        <sz val="11.0"/>
      </rPr>
      <t>Si:</t>
    </r>
    <r>
      <rPr>
        <rFont val="Aptos Narrow"/>
        <color theme="1"/>
        <sz val="11.0"/>
      </rPr>
      <t xml:space="preserve">   1.75
</t>
    </r>
    <r>
      <rPr>
        <rFont val="Aptos Narrow"/>
        <b/>
        <color theme="1"/>
        <sz val="11.0"/>
      </rPr>
      <t>No:</t>
    </r>
    <r>
      <rPr>
        <rFont val="Aptos Narrow"/>
        <color theme="1"/>
        <sz val="11.0"/>
      </rPr>
      <t xml:space="preserve">   1.90</t>
    </r>
  </si>
  <si>
    <t xml:space="preserve">Juan Pablo II </t>
  </si>
  <si>
    <t>CD Moquegua</t>
  </si>
  <si>
    <t>Alianza Lima - ADT</t>
  </si>
  <si>
    <t>Más/Menos 2.5 goles</t>
  </si>
  <si>
    <r>
      <rPr>
        <rFont val="Aptos Narrow"/>
        <b/>
        <color theme="1"/>
        <sz val="11.0"/>
      </rPr>
      <t>Más de 2.5:</t>
    </r>
    <r>
      <rPr>
        <rFont val="Aptos Narrow"/>
        <color theme="1"/>
        <sz val="11.0"/>
      </rPr>
      <t xml:space="preserve">   1.60
</t>
    </r>
    <r>
      <rPr>
        <rFont val="Aptos Narrow"/>
        <b/>
        <color theme="1"/>
        <sz val="11.0"/>
      </rPr>
      <t>Menos de 2.5:</t>
    </r>
    <r>
      <rPr>
        <rFont val="Aptos Narrow"/>
        <color theme="1"/>
        <sz val="11.0"/>
      </rPr>
      <t xml:space="preserve">   2.25</t>
    </r>
  </si>
  <si>
    <t>FC Cajamarca - Cusco FC</t>
  </si>
  <si>
    <r>
      <rPr>
        <rFont val="Aptos Narrow"/>
        <b/>
        <color theme="1"/>
        <sz val="11.0"/>
      </rPr>
      <t>Si:</t>
    </r>
    <r>
      <rPr>
        <rFont val="Aptos Narrow"/>
        <color theme="1"/>
        <sz val="11.0"/>
      </rPr>
      <t xml:space="preserve">   1.55
</t>
    </r>
    <r>
      <rPr>
        <rFont val="Aptos Narrow"/>
        <b/>
        <color theme="1"/>
        <sz val="11.0"/>
      </rPr>
      <t>No:</t>
    </r>
    <r>
      <rPr>
        <rFont val="Aptos Narrow"/>
        <color theme="1"/>
        <sz val="11.0"/>
      </rPr>
      <t xml:space="preserve">   2.30</t>
    </r>
  </si>
  <si>
    <t>Sporting Cristal - Atletico Grau</t>
  </si>
  <si>
    <t xml:space="preserve">Cienciano </t>
  </si>
  <si>
    <r>
      <rPr>
        <rFont val="Aptos Narrow"/>
        <b/>
        <color theme="1"/>
        <sz val="11.0"/>
      </rPr>
      <t>Más de 2.5:</t>
    </r>
    <r>
      <rPr>
        <rFont val="Aptos Narrow"/>
        <color theme="1"/>
        <sz val="11.0"/>
      </rPr>
      <t xml:space="preserve">  1.65
</t>
    </r>
    <r>
      <rPr>
        <rFont val="Aptos Narrow"/>
        <b/>
        <color theme="1"/>
        <sz val="11.0"/>
      </rPr>
      <t>Menos de 2.5:</t>
    </r>
    <r>
      <rPr>
        <rFont val="Aptos Narrow"/>
        <color theme="1"/>
        <sz val="11.0"/>
      </rPr>
      <t xml:space="preserve">   2.15</t>
    </r>
  </si>
  <si>
    <t>Juan Pablo II</t>
  </si>
  <si>
    <t>Deportivo Garcilaso - Universitario</t>
  </si>
  <si>
    <r>
      <rPr>
        <rFont val="Aptos Narrow"/>
        <b/>
        <color theme="1"/>
        <sz val="11.0"/>
      </rPr>
      <t>Más de 2.5:</t>
    </r>
    <r>
      <rPr>
        <rFont val="Aptos Narrow"/>
        <color theme="1"/>
        <sz val="11.0"/>
      </rPr>
      <t xml:space="preserve">   2.15
</t>
    </r>
    <r>
      <rPr>
        <rFont val="Aptos Narrow"/>
        <b/>
        <color theme="1"/>
        <sz val="11.0"/>
      </rPr>
      <t>Menos de 2.5:</t>
    </r>
    <r>
      <rPr>
        <rFont val="Aptos Narrow"/>
        <color theme="1"/>
        <sz val="11.0"/>
      </rPr>
      <t xml:space="preserve">   1.65</t>
    </r>
  </si>
  <si>
    <t>FBC Melgar - Sport Boys</t>
  </si>
  <si>
    <r>
      <rPr>
        <rFont val="Aptos Narrow"/>
        <b/>
        <color theme="1"/>
        <sz val="11.0"/>
      </rPr>
      <t>Si:</t>
    </r>
    <r>
      <rPr>
        <rFont val="Aptos Narrow"/>
        <color theme="1"/>
        <sz val="11.0"/>
      </rPr>
      <t xml:space="preserve">   1.95
</t>
    </r>
    <r>
      <rPr>
        <rFont val="Aptos Narrow"/>
        <b/>
        <color theme="1"/>
        <sz val="11.0"/>
      </rPr>
      <t>No:</t>
    </r>
    <r>
      <rPr>
        <rFont val="Aptos Narrow"/>
        <color theme="1"/>
        <sz val="11.0"/>
      </rPr>
      <t xml:space="preserve">   1.75</t>
    </r>
  </si>
  <si>
    <t>Sport Huancayo - UTC</t>
  </si>
  <si>
    <t>Texto</t>
  </si>
  <si>
    <t>ADT</t>
  </si>
  <si>
    <t xml:space="preserve">Codigo Color </t>
  </si>
  <si>
    <r>
      <rPr>
        <rFont val="Aptos Narrow"/>
        <b/>
        <color theme="1"/>
        <sz val="11.0"/>
      </rPr>
      <t>Si:</t>
    </r>
    <r>
      <rPr>
        <rFont val="Aptos Narrow"/>
        <color theme="1"/>
        <sz val="11.0"/>
      </rPr>
      <t xml:space="preserve">   1.75
</t>
    </r>
    <r>
      <rPr>
        <rFont val="Aptos Narrow"/>
        <b/>
        <color theme="1"/>
        <sz val="11.0"/>
      </rPr>
      <t>No:</t>
    </r>
    <r>
      <rPr>
        <rFont val="Aptos Narrow"/>
        <color theme="1"/>
        <sz val="11.0"/>
      </rPr>
      <t xml:space="preserve">   1.90</t>
    </r>
  </si>
  <si>
    <t>Rojo</t>
  </si>
  <si>
    <t>Juan Pablo II - CD Moquegua</t>
  </si>
  <si>
    <t>R:215 G:40 B:40</t>
  </si>
  <si>
    <r>
      <rPr>
        <rFont val="Aptos Narrow"/>
        <b/>
        <color theme="1"/>
        <sz val="11.0"/>
      </rPr>
      <t>Si:</t>
    </r>
    <r>
      <rPr>
        <rFont val="Aptos Narrow"/>
        <color theme="1"/>
        <sz val="11.0"/>
      </rPr>
      <t xml:space="preserve">   1.75
</t>
    </r>
    <r>
      <rPr>
        <rFont val="Aptos Narrow"/>
        <b/>
        <color theme="1"/>
        <sz val="11.0"/>
      </rPr>
      <t>No:</t>
    </r>
    <r>
      <rPr>
        <rFont val="Aptos Narrow"/>
        <color theme="1"/>
        <sz val="11.0"/>
      </rPr>
      <t xml:space="preserve">   1.90</t>
    </r>
  </si>
  <si>
    <t>BLANCO</t>
  </si>
  <si>
    <t>ADT - Cienciano</t>
  </si>
  <si>
    <t>R:255 G:255 B:255</t>
  </si>
  <si>
    <r>
      <rPr>
        <rFont val="Aptos Narrow"/>
        <b/>
        <color theme="1"/>
        <sz val="11.0"/>
      </rPr>
      <t>Más de 2.5:</t>
    </r>
    <r>
      <rPr>
        <rFont val="Aptos Narrow"/>
        <color theme="1"/>
        <sz val="11.0"/>
      </rPr>
      <t xml:space="preserve">   1.80
</t>
    </r>
    <r>
      <rPr>
        <rFont val="Aptos Narrow"/>
        <b/>
        <color theme="1"/>
        <sz val="11.0"/>
      </rPr>
      <t>Menos de 2.5:</t>
    </r>
    <r>
      <rPr>
        <rFont val="Aptos Narrow"/>
        <color theme="1"/>
        <sz val="11.0"/>
      </rPr>
      <t xml:space="preserve">   2.00</t>
    </r>
  </si>
  <si>
    <t xml:space="preserve">Negro </t>
  </si>
  <si>
    <t>*Quedo excluido Chankas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</si>
</sst>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color theme="1"/>
      <name val="Arial"/>
    </font>
    <font>
      <i/>
      <color theme="1"/>
      <name val="Arial"/>
    </font>
    <font>
      <i/>
      <color theme="1"/>
      <name val="Aptos Narrow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u/>
      <color rgb="FF0000FF"/>
    </font>
    <font>
      <sz val="22.0"/>
      <color theme="1"/>
      <name val="Aptos Narrow"/>
    </font>
    <font>
      <u/>
      <color rgb="FF467886"/>
      <name val="Arial"/>
    </font>
    <font>
      <b/>
      <sz val="11.0"/>
      <color theme="1"/>
      <name val="Aptos Narrow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5" numFmtId="2" xfId="0" applyAlignment="1" applyFont="1" applyNumberFormat="1">
      <alignment readingOrder="0"/>
    </xf>
    <xf borderId="0" fillId="0" fontId="7" numFmtId="0" xfId="0" applyFont="1"/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2" fontId="7" numFmtId="0" xfId="0" applyFill="1" applyFont="1"/>
    <xf borderId="0" fillId="0" fontId="11" numFmtId="0" xfId="0" applyFont="1"/>
    <xf borderId="0" fillId="0" fontId="7" numFmtId="0" xfId="0" applyAlignment="1" applyFont="1">
      <alignment readingOrder="0"/>
    </xf>
    <xf borderId="0" fillId="0" fontId="12" numFmtId="0" xfId="0" applyAlignment="1" applyFont="1">
      <alignment horizontal="right"/>
    </xf>
    <xf borderId="1" fillId="3" fontId="11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vertical="center"/>
    </xf>
    <xf borderId="1" fillId="0" fontId="12" numFmtId="0" xfId="0" applyAlignment="1" applyBorder="1" applyFont="1">
      <alignment shrinkToFit="0" vertical="center" wrapText="1"/>
    </xf>
    <xf borderId="0" fillId="2" fontId="5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22</xdr:row>
      <xdr:rowOff>161925</xdr:rowOff>
    </xdr:from>
    <xdr:ext cx="1066800" cy="171450"/>
    <xdr:sp>
      <xdr:nvSpPr>
        <xdr:cNvPr id="3" name="Shape 3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28575</xdr:colOff>
      <xdr:row>23</xdr:row>
      <xdr:rowOff>180975</xdr:rowOff>
    </xdr:from>
    <xdr:ext cx="1066800" cy="171450"/>
    <xdr:sp>
      <xdr:nvSpPr>
        <xdr:cNvPr id="4" name="Shape 4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28575</xdr:colOff>
      <xdr:row>24</xdr:row>
      <xdr:rowOff>161925</xdr:rowOff>
    </xdr:from>
    <xdr:ext cx="1066800" cy="171450"/>
    <xdr:sp>
      <xdr:nvSpPr>
        <xdr:cNvPr id="4" name="Shape 4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</xdr:colOff>
      <xdr:row>25</xdr:row>
      <xdr:rowOff>161925</xdr:rowOff>
    </xdr:from>
    <xdr:ext cx="1066800" cy="171450"/>
    <xdr:sp>
      <xdr:nvSpPr>
        <xdr:cNvPr id="3" name="Shape 3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9525</xdr:colOff>
      <xdr:row>26</xdr:row>
      <xdr:rowOff>9525</xdr:rowOff>
    </xdr:from>
    <xdr:ext cx="1066800" cy="171450"/>
    <xdr:sp>
      <xdr:nvSpPr>
        <xdr:cNvPr id="4" name="Shape 4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9525</xdr:colOff>
      <xdr:row>27</xdr:row>
      <xdr:rowOff>9525</xdr:rowOff>
    </xdr:from>
    <xdr:ext cx="1066800" cy="171450"/>
    <xdr:sp>
      <xdr:nvSpPr>
        <xdr:cNvPr id="4" name="Shape 4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28</xdr:row>
      <xdr:rowOff>152400</xdr:rowOff>
    </xdr:from>
    <xdr:ext cx="1066800" cy="171450"/>
    <xdr:sp>
      <xdr:nvSpPr>
        <xdr:cNvPr id="4" name="Shape 4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1571625</xdr:colOff>
      <xdr:row>29</xdr:row>
      <xdr:rowOff>161925</xdr:rowOff>
    </xdr:from>
    <xdr:ext cx="1257300" cy="171450"/>
    <xdr:sp>
      <xdr:nvSpPr>
        <xdr:cNvPr id="5" name="Shape 5"/>
        <xdr:cNvSpPr/>
      </xdr:nvSpPr>
      <xdr:spPr>
        <a:xfrm>
          <a:off x="4722113" y="3699038"/>
          <a:ext cx="1247775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30</xdr:row>
      <xdr:rowOff>161925</xdr:rowOff>
    </xdr:from>
    <xdr:ext cx="1066800" cy="171450"/>
    <xdr:sp>
      <xdr:nvSpPr>
        <xdr:cNvPr id="3" name="Shape 3"/>
        <xdr:cNvSpPr/>
      </xdr:nvSpPr>
      <xdr:spPr>
        <a:xfrm>
          <a:off x="4812600" y="3699038"/>
          <a:ext cx="1066800" cy="16192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1847850</xdr:colOff>
      <xdr:row>4</xdr:row>
      <xdr:rowOff>161925</xdr:rowOff>
    </xdr:from>
    <xdr:ext cx="3143250" cy="180975"/>
    <xdr:sp>
      <xdr:nvSpPr>
        <xdr:cNvPr id="6" name="Shape 6"/>
        <xdr:cNvSpPr/>
      </xdr:nvSpPr>
      <xdr:spPr>
        <a:xfrm>
          <a:off x="3779138" y="3689513"/>
          <a:ext cx="3133725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1857375</xdr:colOff>
      <xdr:row>6</xdr:row>
      <xdr:rowOff>57150</xdr:rowOff>
    </xdr:from>
    <xdr:ext cx="3143250" cy="180975"/>
    <xdr:sp>
      <xdr:nvSpPr>
        <xdr:cNvPr id="6" name="Shape 6"/>
        <xdr:cNvSpPr/>
      </xdr:nvSpPr>
      <xdr:spPr>
        <a:xfrm>
          <a:off x="3779138" y="3689513"/>
          <a:ext cx="3133725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638175</xdr:colOff>
      <xdr:row>7</xdr:row>
      <xdr:rowOff>161925</xdr:rowOff>
    </xdr:from>
    <xdr:ext cx="2771775" cy="180975"/>
    <xdr:sp>
      <xdr:nvSpPr>
        <xdr:cNvPr id="7" name="Shape 7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1866900</xdr:colOff>
      <xdr:row>9</xdr:row>
      <xdr:rowOff>38100</xdr:rowOff>
    </xdr:from>
    <xdr:ext cx="3143250" cy="180975"/>
    <xdr:sp>
      <xdr:nvSpPr>
        <xdr:cNvPr id="8" name="Shape 8"/>
        <xdr:cNvSpPr/>
      </xdr:nvSpPr>
      <xdr:spPr>
        <a:xfrm>
          <a:off x="3779138" y="3689513"/>
          <a:ext cx="3133725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647700</xdr:colOff>
      <xdr:row>10</xdr:row>
      <xdr:rowOff>133350</xdr:rowOff>
    </xdr:from>
    <xdr:ext cx="2771775" cy="180975"/>
    <xdr:sp>
      <xdr:nvSpPr>
        <xdr:cNvPr id="9" name="Shape 9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666750</xdr:colOff>
      <xdr:row>12</xdr:row>
      <xdr:rowOff>47625</xdr:rowOff>
    </xdr:from>
    <xdr:ext cx="2771775" cy="180975"/>
    <xdr:sp>
      <xdr:nvSpPr>
        <xdr:cNvPr id="9" name="Shape 9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657225</xdr:colOff>
      <xdr:row>13</xdr:row>
      <xdr:rowOff>123825</xdr:rowOff>
    </xdr:from>
    <xdr:ext cx="2771775" cy="180975"/>
    <xdr:sp>
      <xdr:nvSpPr>
        <xdr:cNvPr id="9" name="Shape 9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638175</xdr:colOff>
      <xdr:row>15</xdr:row>
      <xdr:rowOff>66675</xdr:rowOff>
    </xdr:from>
    <xdr:ext cx="2771775" cy="180975"/>
    <xdr:sp>
      <xdr:nvSpPr>
        <xdr:cNvPr id="9" name="Shape 9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619125</xdr:colOff>
      <xdr:row>16</xdr:row>
      <xdr:rowOff>123825</xdr:rowOff>
    </xdr:from>
    <xdr:ext cx="2771775" cy="180975"/>
    <xdr:sp>
      <xdr:nvSpPr>
        <xdr:cNvPr id="7" name="Shape 7"/>
        <xdr:cNvSpPr/>
      </xdr:nvSpPr>
      <xdr:spPr>
        <a:xfrm>
          <a:off x="3964875" y="3689513"/>
          <a:ext cx="2762250" cy="180975"/>
        </a:xfrm>
        <a:prstGeom prst="rect">
          <a:avLst/>
        </a:prstGeom>
        <a:solidFill>
          <a:srgbClr val="FFFF00">
            <a:alpha val="58039"/>
          </a:srgbClr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4</xdr:row>
      <xdr:rowOff>76200</xdr:rowOff>
    </xdr:from>
    <xdr:ext cx="9153525" cy="2495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66l3B3BNd0FFBsbvLSpLmN7KAOF14S8Q" TargetMode="External"/><Relationship Id="rId10" Type="http://schemas.openxmlformats.org/officeDocument/2006/relationships/hyperlink" Target="https://drive.google.com/drive/folders/166l3B3BNd0FFBsbvLSpLmN7KAOF14S8Q" TargetMode="External"/><Relationship Id="rId13" Type="http://schemas.openxmlformats.org/officeDocument/2006/relationships/hyperlink" Target="https://drive.google.com/drive/folders/166l3B3BNd0FFBsbvLSpLmN7KAOF14S8Q" TargetMode="External"/><Relationship Id="rId12" Type="http://schemas.openxmlformats.org/officeDocument/2006/relationships/hyperlink" Target="https://drive.google.com/drive/folders/166l3B3BNd0FFBsbvLSpLmN7KAOF14S8Q" TargetMode="External"/><Relationship Id="rId1" Type="http://schemas.openxmlformats.org/officeDocument/2006/relationships/hyperlink" Target="https://drive.google.com/drive/folders/166l3B3BNd0FFBsbvLSpLmN7KAOF14S8Q" TargetMode="External"/><Relationship Id="rId2" Type="http://schemas.openxmlformats.org/officeDocument/2006/relationships/hyperlink" Target="https://drive.google.com/drive/folders/166l3B3BNd0FFBsbvLSpLmN7KAOF14S8Q" TargetMode="External"/><Relationship Id="rId3" Type="http://schemas.openxmlformats.org/officeDocument/2006/relationships/hyperlink" Target="https://drive.google.com/drive/folders/166l3B3BNd0FFBsbvLSpLmN7KAOF14S8Q" TargetMode="External"/><Relationship Id="rId4" Type="http://schemas.openxmlformats.org/officeDocument/2006/relationships/hyperlink" Target="https://drive.google.com/drive/folders/166l3B3BNd0FFBsbvLSpLmN7KAOF14S8Q" TargetMode="External"/><Relationship Id="rId9" Type="http://schemas.openxmlformats.org/officeDocument/2006/relationships/hyperlink" Target="https://drive.google.com/drive/folders/166l3B3BNd0FFBsbvLSpLmN7KAOF14S8Q" TargetMode="External"/><Relationship Id="rId15" Type="http://schemas.openxmlformats.org/officeDocument/2006/relationships/hyperlink" Target="https://drive.google.com/drive/folders/166l3B3BNd0FFBsbvLSpLmN7KAOF14S8Q" TargetMode="External"/><Relationship Id="rId14" Type="http://schemas.openxmlformats.org/officeDocument/2006/relationships/hyperlink" Target="https://drive.google.com/drive/folders/166l3B3BNd0FFBsbvLSpLmN7KAOF14S8Q" TargetMode="External"/><Relationship Id="rId17" Type="http://schemas.openxmlformats.org/officeDocument/2006/relationships/hyperlink" Target="https://drive.google.com/drive/folders/166l3B3BNd0FFBsbvLSpLmN7KAOF14S8Q" TargetMode="External"/><Relationship Id="rId16" Type="http://schemas.openxmlformats.org/officeDocument/2006/relationships/hyperlink" Target="https://drive.google.com/drive/folders/166l3B3BNd0FFBsbvLSpLmN7KAOF14S8Q" TargetMode="External"/><Relationship Id="rId5" Type="http://schemas.openxmlformats.org/officeDocument/2006/relationships/hyperlink" Target="https://drive.google.com/drive/folders/166l3B3BNd0FFBsbvLSpLmN7KAOF14S8Q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drive/folders/166l3B3BNd0FFBsbvLSpLmN7KAOF14S8Q" TargetMode="External"/><Relationship Id="rId18" Type="http://schemas.openxmlformats.org/officeDocument/2006/relationships/hyperlink" Target="https://drive.google.com/drive/folders/166l3B3BNd0FFBsbvLSpLmN7KAOF14S8Q" TargetMode="External"/><Relationship Id="rId7" Type="http://schemas.openxmlformats.org/officeDocument/2006/relationships/hyperlink" Target="https://drive.google.com/drive/folders/166l3B3BNd0FFBsbvLSpLmN7KAOF14S8Q" TargetMode="External"/><Relationship Id="rId8" Type="http://schemas.openxmlformats.org/officeDocument/2006/relationships/hyperlink" Target="https://drive.google.com/drive/folders/166l3B3BNd0FFBsbvLSpLmN7KAOF14S8Q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23.13"/>
    <col customWidth="1" min="3" max="3" width="17.25"/>
    <col customWidth="1" min="4" max="7" width="10.63"/>
    <col customWidth="1" min="8" max="8" width="14.38"/>
    <col customWidth="1" min="9" max="26" width="10.63"/>
  </cols>
  <sheetData>
    <row r="1" ht="14.25" customHeight="1">
      <c r="A1" s="13" t="s">
        <v>43</v>
      </c>
    </row>
    <row r="2" ht="14.25" customHeight="1"/>
    <row r="3" ht="14.25" customHeight="1">
      <c r="A3" s="16" t="s">
        <v>45</v>
      </c>
    </row>
    <row r="4" ht="14.25" customHeight="1">
      <c r="A4" s="9" t="s">
        <v>49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H18" s="18" t="s">
        <v>50</v>
      </c>
    </row>
    <row r="19" ht="14.25" customHeight="1"/>
    <row r="20" ht="14.25" customHeight="1">
      <c r="A20" s="16" t="s">
        <v>52</v>
      </c>
    </row>
    <row r="21" ht="14.25" customHeight="1"/>
    <row r="22" ht="14.25" customHeight="1">
      <c r="A22" s="19" t="s">
        <v>3</v>
      </c>
      <c r="B22" s="19" t="s">
        <v>55</v>
      </c>
      <c r="C22" s="19" t="s">
        <v>57</v>
      </c>
    </row>
    <row r="23" ht="14.25" customHeight="1">
      <c r="A23" s="20" t="s">
        <v>59</v>
      </c>
      <c r="B23" s="20" t="s">
        <v>33</v>
      </c>
      <c r="C23" s="21" t="s">
        <v>63</v>
      </c>
    </row>
    <row r="24" ht="14.25" customHeight="1">
      <c r="A24" s="20" t="s">
        <v>66</v>
      </c>
      <c r="B24" s="20" t="s">
        <v>67</v>
      </c>
      <c r="C24" s="21" t="s">
        <v>68</v>
      </c>
    </row>
    <row r="25" ht="14.25" customHeight="1">
      <c r="A25" s="20" t="s">
        <v>69</v>
      </c>
      <c r="B25" s="20" t="s">
        <v>33</v>
      </c>
      <c r="C25" s="21" t="s">
        <v>70</v>
      </c>
    </row>
    <row r="26" ht="14.25" customHeight="1">
      <c r="A26" s="20" t="s">
        <v>71</v>
      </c>
      <c r="B26" s="20" t="s">
        <v>67</v>
      </c>
      <c r="C26" s="21" t="s">
        <v>73</v>
      </c>
    </row>
    <row r="27" ht="14.25" customHeight="1">
      <c r="A27" s="20" t="s">
        <v>75</v>
      </c>
      <c r="B27" s="20" t="s">
        <v>67</v>
      </c>
      <c r="C27" s="21" t="s">
        <v>76</v>
      </c>
    </row>
    <row r="28" ht="14.25" customHeight="1">
      <c r="A28" s="20" t="s">
        <v>77</v>
      </c>
      <c r="B28" s="20" t="s">
        <v>33</v>
      </c>
      <c r="C28" s="21" t="s">
        <v>78</v>
      </c>
    </row>
    <row r="29" ht="14.25" customHeight="1">
      <c r="A29" s="20" t="s">
        <v>79</v>
      </c>
      <c r="B29" s="20" t="s">
        <v>33</v>
      </c>
      <c r="C29" s="21" t="s">
        <v>83</v>
      </c>
    </row>
    <row r="30" ht="14.25" customHeight="1">
      <c r="A30" s="20" t="s">
        <v>85</v>
      </c>
      <c r="B30" s="20" t="s">
        <v>33</v>
      </c>
      <c r="C30" s="21" t="s">
        <v>87</v>
      </c>
    </row>
    <row r="31" ht="14.25" customHeight="1">
      <c r="A31" s="20" t="s">
        <v>89</v>
      </c>
      <c r="B31" s="20" t="s">
        <v>67</v>
      </c>
      <c r="C31" s="21" t="s">
        <v>91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3.0"/>
    <col customWidth="1" min="4" max="4" width="15.0"/>
    <col customWidth="1" min="5" max="5" width="15.88"/>
    <col customWidth="1" min="7" max="9" width="14.13"/>
    <col customWidth="1" min="10" max="10" width="14.38"/>
    <col customWidth="1" min="13" max="13" width="20.38"/>
    <col customWidth="1" min="14" max="14" width="22.63"/>
  </cols>
  <sheetData>
    <row r="1">
      <c r="A1" s="1" t="s">
        <v>1</v>
      </c>
      <c r="C1" s="2" t="s">
        <v>2</v>
      </c>
      <c r="D1" s="3"/>
      <c r="E1" s="3"/>
      <c r="F1" s="3"/>
      <c r="G1" s="2" t="s">
        <v>4</v>
      </c>
      <c r="H1" s="2"/>
      <c r="L1" s="2" t="s">
        <v>9</v>
      </c>
    </row>
    <row r="2">
      <c r="A2" s="5" t="s">
        <v>5</v>
      </c>
      <c r="B2" s="5" t="s">
        <v>6</v>
      </c>
      <c r="C2" s="1" t="s">
        <v>13</v>
      </c>
      <c r="D2" s="1" t="s">
        <v>11</v>
      </c>
      <c r="E2" s="1" t="s">
        <v>12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21</v>
      </c>
      <c r="K2" s="1" t="s">
        <v>20</v>
      </c>
      <c r="L2" s="1" t="s">
        <v>22</v>
      </c>
      <c r="M2" s="1" t="s">
        <v>23</v>
      </c>
      <c r="N2" s="1" t="s">
        <v>24</v>
      </c>
      <c r="O2" s="6"/>
    </row>
    <row r="3">
      <c r="A3" s="7" t="s">
        <v>25</v>
      </c>
      <c r="B3" s="7" t="s">
        <v>26</v>
      </c>
      <c r="C3" s="6">
        <v>1.62</v>
      </c>
      <c r="D3" s="6" t="s">
        <v>27</v>
      </c>
      <c r="E3" s="6" t="s">
        <v>28</v>
      </c>
      <c r="F3" s="8">
        <v>5.3</v>
      </c>
      <c r="G3" s="6" t="s">
        <v>28</v>
      </c>
      <c r="H3" s="6" t="s">
        <v>29</v>
      </c>
      <c r="I3" s="8">
        <v>3.8</v>
      </c>
      <c r="J3" s="8" t="s">
        <v>30</v>
      </c>
      <c r="K3" s="6">
        <v>100.0</v>
      </c>
      <c r="L3" s="9">
        <f t="shared" ref="L3:L4" si="1">K3*C3</f>
        <v>162</v>
      </c>
      <c r="M3" s="11" t="s">
        <v>31</v>
      </c>
      <c r="N3" s="11" t="s">
        <v>31</v>
      </c>
    </row>
    <row r="4">
      <c r="A4" s="7" t="s">
        <v>36</v>
      </c>
      <c r="B4" s="7" t="s">
        <v>37</v>
      </c>
      <c r="C4" s="6">
        <v>1.27</v>
      </c>
      <c r="D4" s="6" t="s">
        <v>27</v>
      </c>
      <c r="E4" s="6" t="s">
        <v>28</v>
      </c>
      <c r="F4" s="8">
        <v>11.0</v>
      </c>
      <c r="G4" s="6" t="s">
        <v>28</v>
      </c>
      <c r="H4" s="6" t="s">
        <v>29</v>
      </c>
      <c r="I4" s="8">
        <v>5.2</v>
      </c>
      <c r="J4" s="8" t="s">
        <v>30</v>
      </c>
      <c r="K4" s="6">
        <v>100.0</v>
      </c>
      <c r="L4" s="9">
        <f t="shared" si="1"/>
        <v>127</v>
      </c>
      <c r="M4" s="11" t="s">
        <v>31</v>
      </c>
      <c r="N4" s="11" t="s">
        <v>31</v>
      </c>
    </row>
    <row r="5">
      <c r="A5" s="7" t="s">
        <v>41</v>
      </c>
      <c r="B5" s="7" t="s">
        <v>42</v>
      </c>
      <c r="C5" s="6">
        <v>3.15</v>
      </c>
      <c r="D5" s="6" t="s">
        <v>28</v>
      </c>
      <c r="E5" s="6" t="s">
        <v>29</v>
      </c>
      <c r="F5" s="8">
        <v>2.1</v>
      </c>
      <c r="G5" s="6" t="s">
        <v>27</v>
      </c>
      <c r="H5" s="6" t="s">
        <v>28</v>
      </c>
      <c r="I5" s="6">
        <v>3.65</v>
      </c>
      <c r="J5" s="6" t="s">
        <v>30</v>
      </c>
      <c r="K5" s="6">
        <v>100.0</v>
      </c>
      <c r="L5" s="9">
        <f>K5*F5</f>
        <v>210</v>
      </c>
      <c r="M5" s="11" t="s">
        <v>31</v>
      </c>
      <c r="N5" s="14" t="s">
        <v>31</v>
      </c>
    </row>
    <row r="6">
      <c r="A6" s="7" t="s">
        <v>47</v>
      </c>
      <c r="B6" s="7" t="s">
        <v>48</v>
      </c>
      <c r="C6" s="6">
        <v>1.37</v>
      </c>
      <c r="D6" s="17" t="s">
        <v>27</v>
      </c>
      <c r="E6" s="6" t="s">
        <v>28</v>
      </c>
      <c r="F6" s="8">
        <v>8.7</v>
      </c>
      <c r="G6" s="6" t="s">
        <v>28</v>
      </c>
      <c r="H6" s="6" t="s">
        <v>29</v>
      </c>
      <c r="I6" s="8">
        <v>4.5</v>
      </c>
      <c r="J6" s="8" t="s">
        <v>30</v>
      </c>
      <c r="K6" s="6">
        <v>100.0</v>
      </c>
      <c r="L6" s="9">
        <f>K6*C6</f>
        <v>137</v>
      </c>
      <c r="M6" s="11" t="s">
        <v>31</v>
      </c>
      <c r="N6" s="11" t="s">
        <v>31</v>
      </c>
    </row>
    <row r="7">
      <c r="A7" s="7" t="s">
        <v>53</v>
      </c>
      <c r="B7" s="7" t="s">
        <v>54</v>
      </c>
      <c r="C7" s="6">
        <v>2.92</v>
      </c>
      <c r="D7" s="6" t="s">
        <v>28</v>
      </c>
      <c r="E7" s="6" t="s">
        <v>29</v>
      </c>
      <c r="F7" s="6">
        <v>2.38</v>
      </c>
      <c r="G7" s="6" t="s">
        <v>27</v>
      </c>
      <c r="H7" s="6" t="s">
        <v>28</v>
      </c>
      <c r="I7" s="6">
        <v>3.25</v>
      </c>
      <c r="J7" s="6" t="s">
        <v>30</v>
      </c>
      <c r="K7" s="6">
        <v>100.0</v>
      </c>
      <c r="L7" s="9">
        <f t="shared" ref="L7:L11" si="2">K7*F7</f>
        <v>238</v>
      </c>
      <c r="M7" s="11" t="s">
        <v>31</v>
      </c>
      <c r="N7" s="11" t="s">
        <v>31</v>
      </c>
    </row>
    <row r="8">
      <c r="A8" s="7" t="s">
        <v>56</v>
      </c>
      <c r="B8" s="7" t="s">
        <v>58</v>
      </c>
      <c r="C8" s="8">
        <v>1.4</v>
      </c>
      <c r="D8" s="6" t="s">
        <v>28</v>
      </c>
      <c r="E8" s="6" t="s">
        <v>29</v>
      </c>
      <c r="F8" s="8">
        <v>8.1</v>
      </c>
      <c r="G8" s="6" t="s">
        <v>27</v>
      </c>
      <c r="H8" s="6" t="s">
        <v>28</v>
      </c>
      <c r="I8" s="8">
        <v>4.3</v>
      </c>
      <c r="J8" s="8" t="s">
        <v>30</v>
      </c>
      <c r="K8" s="6">
        <v>100.0</v>
      </c>
      <c r="L8" s="9">
        <f t="shared" si="2"/>
        <v>810</v>
      </c>
      <c r="M8" s="14" t="s">
        <v>31</v>
      </c>
      <c r="N8" s="11" t="s">
        <v>31</v>
      </c>
    </row>
    <row r="9">
      <c r="A9" s="7" t="s">
        <v>61</v>
      </c>
      <c r="B9" s="7" t="s">
        <v>62</v>
      </c>
      <c r="C9" s="6">
        <v>1.35</v>
      </c>
      <c r="D9" s="6" t="s">
        <v>28</v>
      </c>
      <c r="E9" s="6" t="s">
        <v>29</v>
      </c>
      <c r="F9" s="8">
        <v>9.0</v>
      </c>
      <c r="G9" s="6" t="s">
        <v>27</v>
      </c>
      <c r="H9" s="6" t="s">
        <v>28</v>
      </c>
      <c r="I9" s="8">
        <v>4.6</v>
      </c>
      <c r="J9" s="8" t="s">
        <v>30</v>
      </c>
      <c r="K9" s="6">
        <v>100.0</v>
      </c>
      <c r="L9" s="9">
        <f t="shared" si="2"/>
        <v>900</v>
      </c>
      <c r="M9" s="11" t="s">
        <v>31</v>
      </c>
      <c r="N9" s="11" t="s">
        <v>31</v>
      </c>
    </row>
    <row r="10">
      <c r="A10" s="7" t="s">
        <v>64</v>
      </c>
      <c r="B10" s="7" t="s">
        <v>65</v>
      </c>
      <c r="C10" s="6">
        <v>1.55</v>
      </c>
      <c r="D10" s="6" t="s">
        <v>28</v>
      </c>
      <c r="E10" s="6" t="s">
        <v>29</v>
      </c>
      <c r="F10" s="22">
        <v>6.2</v>
      </c>
      <c r="G10" s="6" t="s">
        <v>27</v>
      </c>
      <c r="H10" s="6" t="s">
        <v>28</v>
      </c>
      <c r="I10" s="8">
        <v>3.8</v>
      </c>
      <c r="J10" s="8" t="s">
        <v>30</v>
      </c>
      <c r="K10" s="6">
        <v>100.0</v>
      </c>
      <c r="L10" s="15">
        <f t="shared" si="2"/>
        <v>620</v>
      </c>
      <c r="M10" s="11" t="s">
        <v>31</v>
      </c>
      <c r="N10" s="11" t="s">
        <v>31</v>
      </c>
    </row>
    <row r="11">
      <c r="A11" s="7" t="s">
        <v>37</v>
      </c>
      <c r="B11" s="7" t="s">
        <v>72</v>
      </c>
      <c r="C11" s="6">
        <v>2.88</v>
      </c>
      <c r="D11" s="6" t="s">
        <v>28</v>
      </c>
      <c r="E11" s="6" t="s">
        <v>29</v>
      </c>
      <c r="F11" s="6">
        <v>2.28</v>
      </c>
      <c r="G11" s="17" t="s">
        <v>27</v>
      </c>
      <c r="H11" s="6" t="s">
        <v>28</v>
      </c>
      <c r="I11" s="8">
        <v>3.5</v>
      </c>
      <c r="J11" s="8" t="s">
        <v>30</v>
      </c>
      <c r="K11" s="6">
        <v>100.0</v>
      </c>
      <c r="L11" s="9">
        <f t="shared" si="2"/>
        <v>228</v>
      </c>
      <c r="M11" s="11" t="s">
        <v>31</v>
      </c>
      <c r="N11" s="11" t="s">
        <v>31</v>
      </c>
    </row>
    <row r="14">
      <c r="A14" s="1" t="s">
        <v>80</v>
      </c>
      <c r="B14" s="1" t="s">
        <v>82</v>
      </c>
    </row>
    <row r="15">
      <c r="A15" s="6" t="s">
        <v>84</v>
      </c>
      <c r="B15" s="17" t="s">
        <v>27</v>
      </c>
      <c r="C15" s="17" t="s">
        <v>86</v>
      </c>
    </row>
    <row r="16">
      <c r="A16" s="17" t="s">
        <v>88</v>
      </c>
      <c r="B16" s="6" t="s">
        <v>28</v>
      </c>
      <c r="C16" s="17" t="s">
        <v>90</v>
      </c>
    </row>
    <row r="17">
      <c r="A17" s="6" t="s">
        <v>92</v>
      </c>
      <c r="B17" s="6" t="s">
        <v>29</v>
      </c>
    </row>
    <row r="19">
      <c r="A19" s="6" t="s">
        <v>93</v>
      </c>
    </row>
  </sheetData>
  <hyperlinks>
    <hyperlink r:id="rId1" ref="M3"/>
    <hyperlink r:id="rId2" ref="N3"/>
    <hyperlink r:id="rId3" ref="M4"/>
    <hyperlink r:id="rId4" ref="N4"/>
    <hyperlink r:id="rId5" ref="M5"/>
    <hyperlink r:id="rId6" ref="N5"/>
    <hyperlink r:id="rId7" ref="M6"/>
    <hyperlink r:id="rId8" ref="N6"/>
    <hyperlink r:id="rId9" ref="M7"/>
    <hyperlink r:id="rId10" ref="N7"/>
    <hyperlink r:id="rId11" ref="M8"/>
    <hyperlink r:id="rId12" ref="N8"/>
    <hyperlink r:id="rId13" ref="M9"/>
    <hyperlink r:id="rId14" ref="N9"/>
    <hyperlink r:id="rId15" ref="M10"/>
    <hyperlink r:id="rId16" ref="N10"/>
    <hyperlink r:id="rId17" ref="M11"/>
    <hyperlink r:id="rId18" ref="N11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17.13"/>
    <col customWidth="1" min="3" max="3" width="22.25"/>
    <col customWidth="1" min="4" max="4" width="20.5"/>
    <col customWidth="1" min="7" max="8" width="13.38"/>
    <col customWidth="1" min="11" max="11" width="14.25"/>
  </cols>
  <sheetData>
    <row r="1">
      <c r="A1" s="1" t="s">
        <v>0</v>
      </c>
    </row>
    <row r="2">
      <c r="C2" s="2"/>
      <c r="E2" s="2" t="s">
        <v>2</v>
      </c>
    </row>
    <row r="3">
      <c r="A3" s="4" t="s">
        <v>3</v>
      </c>
      <c r="B3" s="5" t="s">
        <v>5</v>
      </c>
      <c r="C3" s="5" t="s">
        <v>6</v>
      </c>
      <c r="D3" s="1" t="s">
        <v>7</v>
      </c>
      <c r="E3" s="1" t="s">
        <v>8</v>
      </c>
      <c r="F3" s="1" t="s">
        <v>10</v>
      </c>
      <c r="G3" s="1" t="s">
        <v>11</v>
      </c>
      <c r="H3" s="1" t="s">
        <v>12</v>
      </c>
      <c r="I3" s="1" t="s">
        <v>14</v>
      </c>
      <c r="J3" s="1" t="s">
        <v>15</v>
      </c>
      <c r="K3" s="1" t="s">
        <v>17</v>
      </c>
      <c r="L3" s="1" t="s">
        <v>18</v>
      </c>
      <c r="M3" s="1" t="s">
        <v>20</v>
      </c>
      <c r="N3" s="1" t="s">
        <v>22</v>
      </c>
    </row>
    <row r="4">
      <c r="A4" s="7" t="str">
        <f t="shared" ref="A4:A12" si="1">CONCATENATE(B4," ","vs"," ",C4)</f>
        <v>Alianza Atletico vs Comerciantes Unidos </v>
      </c>
      <c r="B4" s="10" t="s">
        <v>32</v>
      </c>
      <c r="C4" s="7" t="s">
        <v>26</v>
      </c>
      <c r="D4" s="6" t="s">
        <v>33</v>
      </c>
      <c r="E4" s="6">
        <v>1.75</v>
      </c>
      <c r="F4" s="6" t="s">
        <v>34</v>
      </c>
      <c r="G4" s="6" t="s">
        <v>28</v>
      </c>
      <c r="H4" s="6" t="s">
        <v>29</v>
      </c>
      <c r="I4" s="8">
        <v>1.9</v>
      </c>
      <c r="J4" s="6" t="s">
        <v>35</v>
      </c>
      <c r="K4" s="6" t="s">
        <v>27</v>
      </c>
      <c r="L4" s="6" t="s">
        <v>28</v>
      </c>
      <c r="M4" s="6">
        <v>100.0</v>
      </c>
      <c r="N4" s="9">
        <f t="shared" ref="N4:N7" si="2">M4*I4</f>
        <v>190</v>
      </c>
    </row>
    <row r="5">
      <c r="A5" s="7" t="str">
        <f t="shared" si="1"/>
        <v>Alianza Lima vs ADT </v>
      </c>
      <c r="B5" s="10" t="s">
        <v>38</v>
      </c>
      <c r="C5" s="7" t="s">
        <v>37</v>
      </c>
      <c r="D5" s="6" t="s">
        <v>39</v>
      </c>
      <c r="E5" s="8">
        <v>1.6</v>
      </c>
      <c r="F5" s="6" t="s">
        <v>40</v>
      </c>
      <c r="G5" s="6" t="s">
        <v>28</v>
      </c>
      <c r="H5" s="6" t="s">
        <v>29</v>
      </c>
      <c r="I5" s="12">
        <v>2.25</v>
      </c>
      <c r="J5" s="6" t="s">
        <v>44</v>
      </c>
      <c r="K5" s="6" t="s">
        <v>27</v>
      </c>
      <c r="L5" s="6" t="s">
        <v>28</v>
      </c>
      <c r="M5" s="6">
        <v>100.0</v>
      </c>
      <c r="N5" s="15">
        <f t="shared" si="2"/>
        <v>225</v>
      </c>
    </row>
    <row r="6">
      <c r="A6" s="7" t="str">
        <f t="shared" si="1"/>
        <v>FC Cajamarca vs Cusco FC </v>
      </c>
      <c r="B6" s="10" t="s">
        <v>46</v>
      </c>
      <c r="C6" s="7" t="s">
        <v>42</v>
      </c>
      <c r="D6" s="6" t="s">
        <v>33</v>
      </c>
      <c r="E6" s="6">
        <v>1.55</v>
      </c>
      <c r="F6" s="6" t="s">
        <v>34</v>
      </c>
      <c r="G6" s="6" t="s">
        <v>28</v>
      </c>
      <c r="H6" s="6" t="s">
        <v>29</v>
      </c>
      <c r="I6" s="8">
        <v>2.3</v>
      </c>
      <c r="J6" s="6" t="s">
        <v>35</v>
      </c>
      <c r="K6" s="6" t="s">
        <v>27</v>
      </c>
      <c r="L6" s="6" t="s">
        <v>28</v>
      </c>
      <c r="M6" s="6">
        <v>100.0</v>
      </c>
      <c r="N6" s="9">
        <f t="shared" si="2"/>
        <v>230</v>
      </c>
    </row>
    <row r="7">
      <c r="A7" s="7" t="str">
        <f t="shared" si="1"/>
        <v>Sporting Cristal vs Atletico Grau</v>
      </c>
      <c r="B7" s="10" t="s">
        <v>51</v>
      </c>
      <c r="C7" s="7" t="s">
        <v>48</v>
      </c>
      <c r="D7" s="6" t="s">
        <v>39</v>
      </c>
      <c r="E7" s="6">
        <v>1.65</v>
      </c>
      <c r="F7" s="6" t="s">
        <v>40</v>
      </c>
      <c r="G7" s="6" t="s">
        <v>28</v>
      </c>
      <c r="H7" s="6" t="s">
        <v>29</v>
      </c>
      <c r="I7" s="6">
        <v>2.15</v>
      </c>
      <c r="J7" s="6" t="s">
        <v>44</v>
      </c>
      <c r="K7" s="6" t="s">
        <v>27</v>
      </c>
      <c r="L7" s="6" t="s">
        <v>28</v>
      </c>
      <c r="M7" s="6">
        <v>100.0</v>
      </c>
      <c r="N7" s="9">
        <f t="shared" si="2"/>
        <v>215</v>
      </c>
    </row>
    <row r="8">
      <c r="A8" s="7" t="str">
        <f t="shared" si="1"/>
        <v>Deportivo Garcilaso vs Universitario de Deportes </v>
      </c>
      <c r="B8" s="7" t="s">
        <v>53</v>
      </c>
      <c r="C8" s="7" t="s">
        <v>54</v>
      </c>
      <c r="D8" s="6" t="s">
        <v>39</v>
      </c>
      <c r="E8" s="6">
        <v>2.15</v>
      </c>
      <c r="F8" s="6" t="s">
        <v>40</v>
      </c>
      <c r="G8" s="6" t="s">
        <v>27</v>
      </c>
      <c r="H8" s="6" t="s">
        <v>28</v>
      </c>
      <c r="I8" s="6">
        <v>1.65</v>
      </c>
      <c r="J8" s="6" t="s">
        <v>44</v>
      </c>
      <c r="K8" s="6" t="s">
        <v>28</v>
      </c>
      <c r="L8" s="6" t="s">
        <v>29</v>
      </c>
      <c r="M8" s="6">
        <v>100.0</v>
      </c>
      <c r="N8" s="9">
        <f t="shared" ref="N8:N9" si="3">M8*E8</f>
        <v>215</v>
      </c>
    </row>
    <row r="9">
      <c r="A9" s="7" t="str">
        <f t="shared" si="1"/>
        <v>FBC Melgar vs Sports Boys </v>
      </c>
      <c r="B9" s="10" t="s">
        <v>60</v>
      </c>
      <c r="C9" s="7" t="s">
        <v>58</v>
      </c>
      <c r="D9" s="6" t="s">
        <v>33</v>
      </c>
      <c r="E9" s="6">
        <v>1.95</v>
      </c>
      <c r="F9" s="6" t="s">
        <v>34</v>
      </c>
      <c r="G9" s="6" t="s">
        <v>27</v>
      </c>
      <c r="H9" s="6" t="s">
        <v>28</v>
      </c>
      <c r="I9" s="6">
        <v>1.75</v>
      </c>
      <c r="J9" s="6" t="s">
        <v>35</v>
      </c>
      <c r="K9" s="6" t="s">
        <v>28</v>
      </c>
      <c r="L9" s="6" t="s">
        <v>29</v>
      </c>
      <c r="M9" s="6">
        <v>100.0</v>
      </c>
      <c r="N9" s="9">
        <f t="shared" si="3"/>
        <v>195</v>
      </c>
    </row>
    <row r="10">
      <c r="A10" s="7" t="str">
        <f t="shared" si="1"/>
        <v>Sport Huancayo vs UTC </v>
      </c>
      <c r="B10" s="7" t="s">
        <v>61</v>
      </c>
      <c r="C10" s="7" t="s">
        <v>62</v>
      </c>
      <c r="D10" s="6" t="s">
        <v>33</v>
      </c>
      <c r="E10" s="6">
        <v>1.75</v>
      </c>
      <c r="F10" s="6" t="s">
        <v>34</v>
      </c>
      <c r="G10" s="6" t="s">
        <v>28</v>
      </c>
      <c r="H10" s="6" t="s">
        <v>29</v>
      </c>
      <c r="I10" s="8">
        <v>1.9</v>
      </c>
      <c r="J10" s="6" t="s">
        <v>35</v>
      </c>
      <c r="K10" s="6" t="s">
        <v>27</v>
      </c>
      <c r="L10" s="6" t="s">
        <v>28</v>
      </c>
      <c r="M10" s="6">
        <v>100.0</v>
      </c>
      <c r="N10" s="9">
        <f t="shared" ref="N10:N12" si="4">M10*I10</f>
        <v>190</v>
      </c>
    </row>
    <row r="11">
      <c r="A11" s="7" t="str">
        <f t="shared" si="1"/>
        <v>Juan Pablo II vs CD Moquegua</v>
      </c>
      <c r="B11" s="10" t="s">
        <v>74</v>
      </c>
      <c r="C11" s="7" t="s">
        <v>65</v>
      </c>
      <c r="D11" s="6" t="s">
        <v>33</v>
      </c>
      <c r="E11" s="6">
        <v>1.75</v>
      </c>
      <c r="F11" s="6" t="s">
        <v>34</v>
      </c>
      <c r="G11" s="6" t="s">
        <v>28</v>
      </c>
      <c r="H11" s="6" t="s">
        <v>29</v>
      </c>
      <c r="I11" s="8">
        <v>1.9</v>
      </c>
      <c r="J11" s="6" t="s">
        <v>35</v>
      </c>
      <c r="K11" s="6" t="s">
        <v>27</v>
      </c>
      <c r="L11" s="6" t="s">
        <v>28</v>
      </c>
      <c r="M11" s="6">
        <v>100.0</v>
      </c>
      <c r="N11" s="9">
        <f t="shared" si="4"/>
        <v>190</v>
      </c>
    </row>
    <row r="12">
      <c r="A12" s="7" t="str">
        <f t="shared" si="1"/>
        <v>ADT vs Cienciano </v>
      </c>
      <c r="B12" s="10" t="s">
        <v>81</v>
      </c>
      <c r="C12" s="7" t="s">
        <v>72</v>
      </c>
      <c r="D12" s="6" t="s">
        <v>39</v>
      </c>
      <c r="E12" s="8">
        <v>1.8</v>
      </c>
      <c r="F12" s="6" t="s">
        <v>40</v>
      </c>
      <c r="G12" s="6" t="s">
        <v>28</v>
      </c>
      <c r="H12" s="6" t="s">
        <v>29</v>
      </c>
      <c r="I12" s="8">
        <v>2.0</v>
      </c>
      <c r="J12" s="6" t="s">
        <v>44</v>
      </c>
      <c r="K12" s="6" t="s">
        <v>27</v>
      </c>
      <c r="L12" s="6" t="s">
        <v>28</v>
      </c>
      <c r="M12" s="6">
        <v>100.0</v>
      </c>
      <c r="N12" s="9">
        <f t="shared" si="4"/>
        <v>200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2026-08-26T14:40:17Z</dcterms:created>
  <dc:creator>Sebastian Conroy</dc:creator>
</cp:coreProperties>
</file>